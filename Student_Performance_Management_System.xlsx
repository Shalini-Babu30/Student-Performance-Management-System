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5f1874ae398d77/文档/excel/"/>
    </mc:Choice>
  </mc:AlternateContent>
  <xr:revisionPtr revIDLastSave="5" documentId="8_{DBBE9B65-BA2D-4F13-9D3B-5529CD477981}" xr6:coauthVersionLast="47" xr6:coauthVersionMax="47" xr10:uidLastSave="{00A24E94-64CA-4922-BBB9-EA269C1DC351}"/>
  <bookViews>
    <workbookView xWindow="-108" yWindow="-108" windowWidth="23256" windowHeight="12456" activeTab="1" xr2:uid="{493159BA-041C-4DAB-B85B-DF9CEF326697}"/>
  </bookViews>
  <sheets>
    <sheet name="Sheet2" sheetId="2" r:id="rId1"/>
    <sheet name="Sheet1" sheetId="1" r:id="rId2"/>
    <sheet name="DASHBOARD" sheetId="3" r:id="rId3"/>
  </sheets>
  <definedNames>
    <definedName name="_xlnm._FilterDatabase" localSheetId="1" hidden="1">Sheet1!$J$1:$J$6</definedName>
    <definedName name="TamilMarks">Sheet1!$D$1:$D$6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B5" i="3"/>
  <c r="N5" i="1"/>
  <c r="D7" i="1"/>
  <c r="J3" i="1"/>
  <c r="J4" i="1"/>
  <c r="J2" i="1"/>
  <c r="J5" i="1"/>
  <c r="I2" i="1"/>
  <c r="I6" i="1"/>
  <c r="I4" i="1"/>
  <c r="I3" i="1"/>
  <c r="I5" i="1"/>
  <c r="B1" i="3" l="1"/>
  <c r="B3" i="3"/>
  <c r="K2" i="1"/>
  <c r="K6" i="1"/>
  <c r="K3" i="1"/>
  <c r="K4" i="1"/>
  <c r="K5" i="1"/>
</calcChain>
</file>

<file path=xl/sharedStrings.xml><?xml version="1.0" encoding="utf-8"?>
<sst xmlns="http://schemas.openxmlformats.org/spreadsheetml/2006/main" count="51" uniqueCount="35">
  <si>
    <t>Student ID</t>
  </si>
  <si>
    <t>Name</t>
  </si>
  <si>
    <t>Dept</t>
  </si>
  <si>
    <t>Tamil</t>
  </si>
  <si>
    <t>English</t>
  </si>
  <si>
    <t>Maths</t>
  </si>
  <si>
    <t>Science</t>
  </si>
  <si>
    <t>Social</t>
  </si>
  <si>
    <t>Shalini</t>
  </si>
  <si>
    <t>AIML</t>
  </si>
  <si>
    <t>CSE</t>
  </si>
  <si>
    <t>ECE</t>
  </si>
  <si>
    <t>jayasri</t>
  </si>
  <si>
    <t>vara</t>
  </si>
  <si>
    <t>babu</t>
  </si>
  <si>
    <t>vijaya</t>
  </si>
  <si>
    <t>Total</t>
  </si>
  <si>
    <t>Average</t>
  </si>
  <si>
    <t>Grade</t>
  </si>
  <si>
    <t>HOD</t>
  </si>
  <si>
    <t>Kumar</t>
  </si>
  <si>
    <t>Ramesh</t>
  </si>
  <si>
    <t>Lakshmi</t>
  </si>
  <si>
    <t>Row Labels</t>
  </si>
  <si>
    <t>(blank)</t>
  </si>
  <si>
    <t>Grand Total</t>
  </si>
  <si>
    <t>Sum of Total</t>
  </si>
  <si>
    <t>Highest Total</t>
  </si>
  <si>
    <t>Class Average</t>
  </si>
  <si>
    <t>Student Count</t>
  </si>
  <si>
    <t>Count</t>
  </si>
  <si>
    <t>A</t>
  </si>
  <si>
    <t>B</t>
  </si>
  <si>
    <t>FAIL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</si>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</sst>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5">
    <dxf>
      <fill>
        <patternFill>
          <bgColor rgb="FFC00000"/>
        </patternFill>
      </fill>
    </dxf>
    <dxf>
      <fill>
        <patternFill>
          <bgColor rgb="FFFF9966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[Student_Performance_Management_System.xlsx]Sheet2!PivotTable1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AIML</c:v>
                </c:pt>
                <c:pt idx="1">
                  <c:v>CSE</c:v>
                </c:pt>
                <c:pt idx="2">
                  <c:v>ECE</c:v>
                </c:pt>
                <c:pt idx="3">
                  <c:v>(blank)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1213</c:v>
                </c:pt>
                <c:pt idx="1">
                  <c:v>414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8-4403-9F57-652D1F380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759599"/>
        <c:axId val="892747119"/>
      </c:barChart>
      <c:catAx>
        <c:axId val="89275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47119"/>
        <c:crosses val="autoZero"/>
        <c:auto val="1"/>
        <c:lblAlgn val="ctr"/>
        <c:lblOffset val="100"/>
        <c:noMultiLvlLbl val="0"/>
      </c:catAx>
      <c:valAx>
        <c:axId val="8927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Count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7C-43F6-A89B-13DF5F57C4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7C-43F6-A89B-13DF5F57C4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7C-43F6-A89B-13DF5F57C4C1}"/>
              </c:ext>
            </c:extLst>
          </c:dPt>
          <c:cat>
            <c:strRef>
              <c:f>DASHBOARD!$D$2:$D$4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FAIL</c:v>
                </c:pt>
              </c:strCache>
            </c:strRef>
          </c:cat>
          <c:val>
            <c:numRef>
              <c:f>DASHBOARD!$E$2:$E$4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9-4BCB-AD25-00D447F29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DASHBOARD!$G$2:$G$6</c:f>
              <c:strCache>
                <c:ptCount val="5"/>
                <c:pt idx="0">
                  <c:v>vijaya</c:v>
                </c:pt>
                <c:pt idx="1">
                  <c:v>jayasri</c:v>
                </c:pt>
                <c:pt idx="2">
                  <c:v>vara</c:v>
                </c:pt>
                <c:pt idx="3">
                  <c:v>Shalini</c:v>
                </c:pt>
                <c:pt idx="4">
                  <c:v>babu</c:v>
                </c:pt>
              </c:strCache>
            </c:strRef>
          </c:cat>
          <c:val>
            <c:numRef>
              <c:f>DASHBOARD!$H$2:$H$6</c:f>
              <c:numCache>
                <c:formatCode>General</c:formatCode>
                <c:ptCount val="5"/>
                <c:pt idx="0">
                  <c:v>200</c:v>
                </c:pt>
                <c:pt idx="1">
                  <c:v>414</c:v>
                </c:pt>
                <c:pt idx="2">
                  <c:v>411</c:v>
                </c:pt>
                <c:pt idx="3">
                  <c:v>378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2-4B47-B5B6-A166235FB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778799"/>
        <c:axId val="892789359"/>
      </c:barChart>
      <c:catAx>
        <c:axId val="89277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89359"/>
        <c:crosses val="autoZero"/>
        <c:auto val="1"/>
        <c:lblAlgn val="ctr"/>
        <c:lblOffset val="100"/>
        <c:noMultiLvlLbl val="0"/>
      </c:catAx>
      <c:valAx>
        <c:axId val="89278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7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99066</xdr:colOff>
      <xdr:row>9</xdr:row>
      <xdr:rowOff>72390</xdr:rowOff>
    </xdr:from>
    <xdr:to>
      <xdr:col>6</xdr:col>
      <xdr:colOff>571506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2E837-9065-6094-A327-BB933CE5C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144780</xdr:colOff>
      <xdr:row>1</xdr:row>
      <xdr:rowOff>156210</xdr:rowOff>
    </xdr:from>
    <xdr:to>
      <xdr:col>14</xdr:col>
      <xdr:colOff>129540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EA150-899D-7CB0-BD8A-BB309B386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110490</xdr:rowOff>
    </xdr:from>
    <xdr:to>
      <xdr:col>22</xdr:col>
      <xdr:colOff>304800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019AC1-DDAA-83D2-DBFC-641F0DC5D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B" refreshedDate="46194.912460648149" createdVersion="8" refreshedVersion="8" minRefreshableVersion="3" recordCount="6" xr:uid="{8A1BC510-680F-4F6D-A110-F216AEFDDA8F}">
  <cacheSource type="worksheet">
    <worksheetSource ref="A1:K7" sheet="Sheet1"/>
  </cacheSource>
  <cacheFields count="11">
    <cacheField name="Student ID" numFmtId="0">
      <sharedItems containsString="0" containsBlank="1" containsNumber="1" containsInteger="1" minValue="101" maxValue="105"/>
    </cacheField>
    <cacheField name="Name" numFmtId="0">
      <sharedItems containsBlank="1"/>
    </cacheField>
    <cacheField name="Dept" numFmtId="0">
      <sharedItems containsBlank="1" count="4">
        <s v="AIML"/>
        <s v="CSE"/>
        <s v="ECE"/>
        <m/>
      </sharedItems>
    </cacheField>
    <cacheField name="Tamil" numFmtId="0">
      <sharedItems containsSemiMixedTypes="0" containsString="0" containsNumber="1" minValue="72" maxValue="98"/>
    </cacheField>
    <cacheField name="English" numFmtId="0">
      <sharedItems containsString="0" containsBlank="1" containsNumber="1" containsInteger="1" minValue="65" maxValue="92"/>
    </cacheField>
    <cacheField name="Maths" numFmtId="0">
      <sharedItems containsString="0" containsBlank="1" containsNumber="1" containsInteger="1" minValue="67" maxValue="90"/>
    </cacheField>
    <cacheField name="Science" numFmtId="0">
      <sharedItems containsString="0" containsBlank="1" containsNumber="1" containsInteger="1" minValue="51" maxValue="88"/>
    </cacheField>
    <cacheField name="Social" numFmtId="0">
      <sharedItems containsString="0" containsBlank="1" containsNumber="1" containsInteger="1" minValue="68" maxValue="95"/>
    </cacheField>
    <cacheField name="Total" numFmtId="0">
      <sharedItems containsString="0" containsBlank="1" containsNumber="1" containsInteger="1" minValue="350" maxValue="424"/>
    </cacheField>
    <cacheField name="Average" numFmtId="0">
      <sharedItems containsString="0" containsBlank="1" containsNumber="1" minValue="70" maxValue="84.8"/>
    </cacheField>
    <cacheField name="Gra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5"/>
    <s v="vijaya"/>
    <x v="0"/>
    <n v="88"/>
    <n v="92"/>
    <n v="81"/>
    <n v="79"/>
    <n v="84"/>
    <n v="424"/>
    <n v="84.8"/>
    <s v="A"/>
  </r>
  <r>
    <n v="102"/>
    <s v="jayasri"/>
    <x v="1"/>
    <n v="85"/>
    <n v="72"/>
    <n v="90"/>
    <n v="88"/>
    <n v="79"/>
    <n v="414"/>
    <n v="82.8"/>
    <s v="A"/>
  </r>
  <r>
    <n v="103"/>
    <s v="vara"/>
    <x v="0"/>
    <n v="91"/>
    <n v="80"/>
    <n v="76"/>
    <n v="69"/>
    <n v="95"/>
    <n v="411"/>
    <n v="82.2"/>
    <s v="A"/>
  </r>
  <r>
    <n v="101"/>
    <s v="Shalini"/>
    <x v="0"/>
    <n v="98"/>
    <n v="78"/>
    <n v="67"/>
    <n v="51"/>
    <n v="84"/>
    <n v="378"/>
    <n v="75.599999999999994"/>
    <s v="B"/>
  </r>
  <r>
    <n v="104"/>
    <s v="babu"/>
    <x v="2"/>
    <n v="72"/>
    <n v="65"/>
    <n v="70"/>
    <n v="75"/>
    <n v="68"/>
    <n v="350"/>
    <n v="70"/>
    <s v="B"/>
  </r>
  <r>
    <m/>
    <m/>
    <x v="3"/>
    <n v="86.8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3EC43-9ABF-42B5-83BD-5C93B4A18A1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034F-36DE-4C9C-BDC3-E06FEAA0C425}">
  <dimension ref="A3:B8"/>
  <sheetViews>
    <sheetView workbookViewId="0">
      <selection activeCell="A5" sqref="A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6" t="s">
        <v>23</v>
      </c>
      <c r="B3" t="s">
        <v>26</v>
      </c>
    </row>
    <row r="4" spans="1:2" x14ac:dyDescent="0.3">
      <c r="A4" s="7" t="s">
        <v>9</v>
      </c>
      <c r="B4">
        <v>1213</v>
      </c>
    </row>
    <row r="5" spans="1:2" x14ac:dyDescent="0.3">
      <c r="A5" s="7" t="s">
        <v>10</v>
      </c>
      <c r="B5">
        <v>414</v>
      </c>
    </row>
    <row r="6" spans="1:2" x14ac:dyDescent="0.3">
      <c r="A6" s="7" t="s">
        <v>11</v>
      </c>
      <c r="B6">
        <v>350</v>
      </c>
    </row>
    <row r="7" spans="1:2" x14ac:dyDescent="0.3">
      <c r="A7" s="7" t="s">
        <v>24</v>
      </c>
    </row>
    <row r="8" spans="1:2" x14ac:dyDescent="0.3">
      <c r="A8" s="7" t="s">
        <v>25</v>
      </c>
      <c r="B8">
        <v>1977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572F-DF80-4451-880A-CAFFF5B1405F}">
  <dimension ref="A1:N7"/>
  <sheetViews>
    <sheetView tabSelected="1" workbookViewId="0">
      <selection activeCell="D27" sqref="D27"/>
    </sheetView>
  </sheetViews>
  <sheetFormatPr defaultRowHeight="14.4" x14ac:dyDescent="0.3"/>
  <cols>
    <col min="1" max="1" width="12" customWidth="1"/>
    <col min="2" max="2" width="11.77734375" customWidth="1"/>
    <col min="3" max="3" width="11.109375" customWidth="1"/>
    <col min="5" max="6" width="10.44140625" customWidth="1"/>
    <col min="7" max="7" width="10.109375" customWidth="1"/>
    <col min="8" max="8" width="10.88671875" customWidth="1"/>
    <col min="9" max="9" width="12" customWidth="1"/>
    <col min="10" max="10" width="10.6640625" customWidth="1"/>
    <col min="11" max="11" width="13.88671875" customWidth="1"/>
  </cols>
  <sheetData>
    <row r="1" spans="1:14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16</v>
      </c>
      <c r="J1" s="2" t="s">
        <v>17</v>
      </c>
      <c r="K1" s="2" t="s">
        <v>18</v>
      </c>
      <c r="M1" s="2" t="s">
        <v>2</v>
      </c>
      <c r="N1" s="2" t="s">
        <v>19</v>
      </c>
    </row>
    <row r="2" spans="1:14" x14ac:dyDescent="0.3">
      <c r="A2" s="1">
        <v>105</v>
      </c>
      <c r="B2" s="1" t="s">
        <v>15</v>
      </c>
      <c r="C2" s="1" t="s">
        <v>9</v>
      </c>
      <c r="D2" s="1">
        <v>88</v>
      </c>
      <c r="E2" s="1">
        <v>92</v>
      </c>
      <c r="F2" s="1">
        <v>81</v>
      </c>
      <c r="G2" s="1">
        <v>79</v>
      </c>
      <c r="H2" s="1">
        <v>84</v>
      </c>
      <c r="I2" s="5">
        <f>SUM(D2:H2)</f>
        <v>424</v>
      </c>
      <c r="J2" s="5">
        <f>AVERAGE(D2:H2)</f>
        <v>84.8</v>
      </c>
      <c r="K2" s="5" t="str">
        <f>IF(J2&gt;=90,"A+",IF(J2&gt;=80,"A",IF(J2&gt;=70,"B",IF(J2&gt;=50,"C","FAIL"))))</f>
        <v>A</v>
      </c>
      <c r="M2" s="3" t="s">
        <v>9</v>
      </c>
      <c r="N2" s="3" t="s">
        <v>20</v>
      </c>
    </row>
    <row r="3" spans="1:14" s="10" customFormat="1" x14ac:dyDescent="0.3">
      <c r="A3" s="8">
        <v>102</v>
      </c>
      <c r="B3" s="8" t="s">
        <v>12</v>
      </c>
      <c r="C3" s="8" t="s">
        <v>10</v>
      </c>
      <c r="D3" s="8">
        <v>85</v>
      </c>
      <c r="E3" s="8">
        <v>72</v>
      </c>
      <c r="F3" s="8">
        <v>90</v>
      </c>
      <c r="G3" s="8">
        <v>88</v>
      </c>
      <c r="H3" s="8">
        <v>79</v>
      </c>
      <c r="I3" s="9">
        <f>SUM(D3:H3)</f>
        <v>414</v>
      </c>
      <c r="J3" s="9">
        <f>AVERAGE(D3:H3)</f>
        <v>82.8</v>
      </c>
      <c r="K3" s="9" t="str">
        <f>IF(J3&gt;=90,"A+",IF(J3&gt;=80,"A",IF(J3&gt;=70,"B",IF(J3&gt;=50,"C","FAIL"))))</f>
        <v>A</v>
      </c>
      <c r="M3" s="11" t="s">
        <v>10</v>
      </c>
      <c r="N3" s="11" t="s">
        <v>21</v>
      </c>
    </row>
    <row r="4" spans="1:14" x14ac:dyDescent="0.3">
      <c r="A4" s="1">
        <v>103</v>
      </c>
      <c r="B4" s="1" t="s">
        <v>13</v>
      </c>
      <c r="C4" s="1" t="s">
        <v>9</v>
      </c>
      <c r="D4" s="1">
        <v>91</v>
      </c>
      <c r="E4" s="1">
        <v>80</v>
      </c>
      <c r="F4" s="1">
        <v>76</v>
      </c>
      <c r="G4" s="1">
        <v>69</v>
      </c>
      <c r="H4" s="1">
        <v>95</v>
      </c>
      <c r="I4" s="5">
        <f>SUM(D4:H4)</f>
        <v>411</v>
      </c>
      <c r="J4" s="5">
        <f>AVERAGE(D4:H4)</f>
        <v>82.2</v>
      </c>
      <c r="K4" s="5" t="str">
        <f>IF(J4&gt;=90,"A+",IF(J4&gt;=80,"A",IF(J4&gt;=70,"B",IF(J4&gt;=50,"C","FAIL"))))</f>
        <v>A</v>
      </c>
      <c r="M4" s="3" t="s">
        <v>11</v>
      </c>
      <c r="N4" s="3" t="s">
        <v>22</v>
      </c>
    </row>
    <row r="5" spans="1:14" x14ac:dyDescent="0.3">
      <c r="A5" s="1">
        <v>101</v>
      </c>
      <c r="B5" s="1" t="s">
        <v>8</v>
      </c>
      <c r="C5" s="1" t="s">
        <v>9</v>
      </c>
      <c r="D5" s="1">
        <v>98</v>
      </c>
      <c r="E5" s="1">
        <v>78</v>
      </c>
      <c r="F5" s="1">
        <v>67</v>
      </c>
      <c r="G5" s="1">
        <v>51</v>
      </c>
      <c r="H5" s="1">
        <v>84</v>
      </c>
      <c r="I5" s="5">
        <f>SUM(D5:H5)</f>
        <v>378</v>
      </c>
      <c r="J5" s="5">
        <f>AVERAGE(D5:H5)</f>
        <v>75.599999999999994</v>
      </c>
      <c r="K5" s="5" t="str">
        <f>IF(J5&gt;=90,"A+",IF(J5&gt;=80,"A",IF(J5&gt;=70,"B",IF(J5&gt;=50,"C","FAIL"))))</f>
        <v>B</v>
      </c>
      <c r="N5" t="str">
        <f>VLOOKUP(C2,$M$2:$N$4,2,FALSE)</f>
        <v>Kumar</v>
      </c>
    </row>
    <row r="6" spans="1:14" x14ac:dyDescent="0.3">
      <c r="A6" s="1">
        <v>104</v>
      </c>
      <c r="B6" s="1" t="s">
        <v>14</v>
      </c>
      <c r="C6" s="1" t="s">
        <v>11</v>
      </c>
      <c r="D6" s="1">
        <v>72</v>
      </c>
      <c r="E6" s="1">
        <v>65</v>
      </c>
      <c r="F6" s="1">
        <v>70</v>
      </c>
      <c r="G6" s="1">
        <v>75</v>
      </c>
      <c r="H6" s="1">
        <v>68</v>
      </c>
      <c r="I6" s="5">
        <f>SUM(D6:H6)</f>
        <v>350</v>
      </c>
      <c r="J6" s="5">
        <f>AVERAGE(D6:H6)</f>
        <v>70</v>
      </c>
      <c r="K6" s="5" t="str">
        <f>IF(J6&gt;=90,"A+",IF(J6&gt;=80,"A",IF(J6&gt;=70,"B",IF(J6&gt;=50,"C","FAIL"))))</f>
        <v>B</v>
      </c>
    </row>
    <row r="7" spans="1:14" x14ac:dyDescent="0.3">
      <c r="D7">
        <f>AVERAGE(TamilMarks)</f>
        <v>86.8</v>
      </c>
    </row>
  </sheetData>
  <scenarios current="0" show="0">
    <scenario name="Current Marks" locked="1" count="5" user="Shalini B" comment="Created by Shalini B on 21-06-2026">
      <inputCells r="D2" val="88"/>
      <inputCells r="E2" val="92"/>
      <inputCells r="F2" val="81"/>
      <inputCells r="G2" val="79"/>
      <inputCells r="H2" val="84"/>
    </scenario>
    <scenario name="Best Case" locked="1" count="5" user="Shalini B" comment="Created by Shalini B on 21-06-2026">
      <inputCells r="D2" val="100"/>
      <inputCells r="E2" val="100"/>
      <inputCells r="F2" val="100"/>
      <inputCells r="G2" val="100"/>
      <inputCells r="H2" val="100"/>
    </scenario>
    <scenario name="Worst Case" locked="1" count="5" user="Shalini B" comment="Created by Shalini B on 21-06-2026">
      <inputCells r="D2" val="40"/>
      <inputCells r="E2" val="40"/>
      <inputCells r="F2" val="40"/>
      <inputCells r="G2" val="40"/>
      <inputCells r="H2" val="40"/>
    </scenario>
  </scenarios>
  <autoFilter ref="J1:J6" xr:uid="{FB64572F-DF80-4451-880A-CAFFF5B1405F}">
    <sortState xmlns:xlrd2="http://schemas.microsoft.com/office/spreadsheetml/2017/richdata2" ref="A2:K7">
      <sortCondition descending="1" ref="J1:J6"/>
    </sortState>
  </autoFilter>
  <conditionalFormatting sqref="J1:J6">
    <cfRule type="cellIs" dxfId="4" priority="4" operator="lessThan">
      <formula>60</formula>
    </cfRule>
    <cfRule type="cellIs" dxfId="3" priority="5" operator="greaterThan">
      <formula>80</formula>
    </cfRule>
  </conditionalFormatting>
  <conditionalFormatting sqref="J2:J6">
    <cfRule type="cellIs" dxfId="2" priority="1" operator="lessThan">
      <formula>60</formula>
    </cfRule>
    <cfRule type="cellIs" dxfId="1" priority="2" operator="lessThan">
      <formula>80</formula>
    </cfRule>
    <cfRule type="cellIs" dxfId="0" priority="3" operator="lessThan">
      <formula>76</formula>
    </cfRule>
  </conditionalFormatting>
  <dataValidations count="1">
    <dataValidation type="list" allowBlank="1" showInputMessage="1" showErrorMessage="1" sqref="C1:C6" xr:uid="{BA4B6516-EC39-46D9-8700-AED16670BFCC}">
      <formula1>"AIML,CSE,ECE"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60E8-7B9C-48DF-BFDD-0EAA88AFD355}">
  <dimension ref="A1:H6"/>
  <sheetViews>
    <sheetView workbookViewId="0">
      <selection activeCell="C19" sqref="C19"/>
    </sheetView>
  </sheetViews>
  <sheetFormatPr defaultRowHeight="14.4" x14ac:dyDescent="0.3"/>
  <cols>
    <col min="1" max="1" width="13.88671875" customWidth="1"/>
  </cols>
  <sheetData>
    <row r="1" spans="1:8" ht="21" x14ac:dyDescent="0.4">
      <c r="A1" t="s">
        <v>27</v>
      </c>
      <c r="B1" s="12">
        <f>MAX(Sheet1!I2:I6)</f>
        <v>424</v>
      </c>
      <c r="D1" s="3" t="s">
        <v>18</v>
      </c>
      <c r="E1" s="3" t="s">
        <v>30</v>
      </c>
      <c r="G1" s="2" t="s">
        <v>34</v>
      </c>
      <c r="H1" s="2" t="s">
        <v>16</v>
      </c>
    </row>
    <row r="2" spans="1:8" ht="21" x14ac:dyDescent="0.4">
      <c r="B2" s="12"/>
      <c r="D2" s="3" t="s">
        <v>31</v>
      </c>
      <c r="E2" s="3">
        <v>2</v>
      </c>
      <c r="G2" s="3" t="s">
        <v>15</v>
      </c>
      <c r="H2" s="3">
        <v>200</v>
      </c>
    </row>
    <row r="3" spans="1:8" ht="21" x14ac:dyDescent="0.4">
      <c r="A3" t="s">
        <v>28</v>
      </c>
      <c r="B3" s="12">
        <f>AVERAGE(Sheet1!I2:I6)</f>
        <v>395.4</v>
      </c>
      <c r="D3" s="3" t="s">
        <v>32</v>
      </c>
      <c r="E3" s="3">
        <v>2</v>
      </c>
      <c r="G3" s="3" t="s">
        <v>12</v>
      </c>
      <c r="H3" s="3">
        <v>414</v>
      </c>
    </row>
    <row r="4" spans="1:8" ht="21" x14ac:dyDescent="0.4">
      <c r="B4" s="12"/>
      <c r="D4" s="3" t="s">
        <v>33</v>
      </c>
      <c r="E4" s="3">
        <v>1</v>
      </c>
      <c r="G4" s="3" t="s">
        <v>13</v>
      </c>
      <c r="H4" s="3">
        <v>411</v>
      </c>
    </row>
    <row r="5" spans="1:8" ht="21" x14ac:dyDescent="0.4">
      <c r="A5" t="s">
        <v>29</v>
      </c>
      <c r="B5" s="12">
        <f>COUNTA(Sheet1!B2:B6)</f>
        <v>5</v>
      </c>
      <c r="D5" s="3"/>
      <c r="E5" s="3"/>
      <c r="G5" s="3" t="s">
        <v>8</v>
      </c>
      <c r="H5" s="3">
        <v>378</v>
      </c>
    </row>
    <row r="6" spans="1:8" x14ac:dyDescent="0.3">
      <c r="G6" s="3" t="s">
        <v>14</v>
      </c>
      <c r="H6" s="3">
        <v>350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Sheet1</vt:lpstr>
      <vt:lpstr>DASHBOARD</vt:lpstr>
      <vt:lpstr>TamilMarks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B</dc:creator>
  <cp:lastModifiedBy>Shalini B</cp:lastModifiedBy>
  <dcterms:created xsi:type="dcterms:W3CDTF">2026-06-21T15:33:08Z</dcterms:created>
  <dcterms:modified xsi:type="dcterms:W3CDTF">2026-06-22T07:52:59Z</dcterms:modified>
</cp:coreProperties>
</file>